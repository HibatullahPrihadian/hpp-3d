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duvkp1gGgenvgDGuovLi3We1XJITK5SmNUbH2gm8BU="/>
    </ext>
  </extLst>
</workbook>
</file>

<file path=xl/sharedStrings.xml><?xml version="1.0" encoding="utf-8"?>
<sst xmlns="http://schemas.openxmlformats.org/spreadsheetml/2006/main" count="16" uniqueCount="16">
  <si>
    <t>Presentase</t>
  </si>
  <si>
    <t>Hasil Harga Jual</t>
  </si>
  <si>
    <t>Bersih</t>
  </si>
  <si>
    <t>Harga Mesin</t>
  </si>
  <si>
    <t>Estimasi Umur Mesin</t>
  </si>
  <si>
    <t>Harga Filament per Kg</t>
  </si>
  <si>
    <t>Watt Printer (Kw)</t>
  </si>
  <si>
    <t>Tarif Listrik per KwH</t>
  </si>
  <si>
    <t>Berat Model (gram)</t>
  </si>
  <si>
    <t>Waktu Cetak (jam)</t>
  </si>
  <si>
    <t>Jasa Cat</t>
  </si>
  <si>
    <t>Biaya Material</t>
  </si>
  <si>
    <t>Biaya Penyusutan</t>
  </si>
  <si>
    <t>Biaya Listrik</t>
  </si>
  <si>
    <t>Subtotal HPP</t>
  </si>
  <si>
    <t>Total HPP + Risiko 10%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</si>
</sst>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Rp-421]* #,##0_-;\-[$Rp-421]* #,##0_-;_-[$Rp-421]* &quot;-&quot;_-;_-@"/>
    <numFmt numFmtId="165" formatCode="_-[$Rp-421]* #,##0_-;\-[$Rp-421]* #,##0_-;_-[$Rp-421]* &quot;-&quot;??_-;_-@"/>
    <numFmt numFmtId="166" formatCode="0.0"/>
    <numFmt numFmtId="167" formatCode="_-[$Rp-421]* #,##0_-;\-[$Rp-421]* #,##0_-;_-[$Rp-421]* &quot;-&quot;?_-;_-@"/>
  </numFmts>
  <fonts count="3">
    <font>
      <sz val="11.0"/>
      <color theme="1"/>
      <name val="Calibri"/>
      <scheme val="minor"/>
    </font>
    <font>
      <sz val="12.0"/>
      <color theme="1"/>
      <name val="Josefin Sans"/>
    </font>
    <font>
      <sz val="12.0"/>
      <color rgb="FF181A1B"/>
      <name val="Josefi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9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9.0"/>
    <col customWidth="1" min="3" max="3" width="13.43"/>
    <col customWidth="1" min="4" max="4" width="16.29"/>
    <col customWidth="1" min="5" max="5" width="21.29"/>
    <col customWidth="1" min="6" max="6" width="22.14"/>
    <col customWidth="1" min="7" max="26" width="8.86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1"/>
      <c r="D2" s="1" t="s">
        <v>0</v>
      </c>
      <c r="E2" s="1" t="s">
        <v>1</v>
      </c>
      <c r="F2" s="1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 t="s">
        <v>3</v>
      </c>
      <c r="B3" s="2">
        <v>1.3E7</v>
      </c>
      <c r="C3" s="1"/>
      <c r="D3" s="3">
        <v>0.5</v>
      </c>
      <c r="E3" s="4">
        <f>B16*(1+D3)</f>
        <v>58162.5</v>
      </c>
      <c r="F3" s="4">
        <f>$E3-$B16</f>
        <v>19387.5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 t="s">
        <v>4</v>
      </c>
      <c r="B4" s="1">
        <v>5000.0</v>
      </c>
      <c r="C4" s="1"/>
      <c r="D4" s="3">
        <v>0.7</v>
      </c>
      <c r="E4" s="4">
        <f>B16*(1+D4)</f>
        <v>65917.5</v>
      </c>
      <c r="F4" s="4">
        <f>$E4-$B16</f>
        <v>27142.5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 t="s">
        <v>5</v>
      </c>
      <c r="B5" s="5">
        <v>130000.0</v>
      </c>
      <c r="C5" s="1"/>
      <c r="D5" s="3">
        <v>1.0</v>
      </c>
      <c r="E5" s="4">
        <f>B16*(1+D5)</f>
        <v>77550</v>
      </c>
      <c r="F5" s="4">
        <f>$E5-$B16</f>
        <v>38775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 t="s">
        <v>6</v>
      </c>
      <c r="B6" s="6">
        <v>0.5</v>
      </c>
      <c r="C6" s="1"/>
      <c r="D6" s="3">
        <v>1.25</v>
      </c>
      <c r="E6" s="4">
        <f>B16*(1+D6)</f>
        <v>87243.75</v>
      </c>
      <c r="F6" s="4">
        <f>$E6-$B16</f>
        <v>48468.75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 t="s">
        <v>7</v>
      </c>
      <c r="B7" s="5">
        <v>1350.0</v>
      </c>
      <c r="C7" s="1"/>
      <c r="D7" s="3">
        <v>0.8</v>
      </c>
      <c r="E7" s="7">
        <f>B16*(1+D7)</f>
        <v>69795</v>
      </c>
      <c r="F7" s="7">
        <f>E7-B16</f>
        <v>31020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 t="s">
        <v>8</v>
      </c>
      <c r="B8" s="8">
        <v>55.0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 t="s">
        <v>9</v>
      </c>
      <c r="B9" s="9">
        <v>4.0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 t="s">
        <v>10</v>
      </c>
      <c r="B10" s="10">
        <v>15000.0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 t="s">
        <v>11</v>
      </c>
      <c r="B12" s="5">
        <f>(B8/1000)*B5</f>
        <v>7150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 t="s">
        <v>12</v>
      </c>
      <c r="B13" s="5">
        <f>(B3/B4)*B9</f>
        <v>10400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 t="s">
        <v>13</v>
      </c>
      <c r="B14" s="7">
        <f>B7*B9*B6</f>
        <v>2700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 t="s">
        <v>14</v>
      </c>
      <c r="B15" s="5">
        <f>B12+B13+B14+B10</f>
        <v>35250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 t="s">
        <v>15</v>
      </c>
      <c r="B16" s="7">
        <f>B15*1.1</f>
        <v>38775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2026-04-02T14:58:03Z</dcterms:created>
  <dc:creator>Hibatullah Agung Prihadian</dc:creator>
</cp:coreProperties>
</file>